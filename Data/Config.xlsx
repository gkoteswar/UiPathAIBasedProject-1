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USER4\Documents\UiPath\FB60 Process BOT\Data\"/>
    </mc:Choice>
  </mc:AlternateContent>
  <xr:revisionPtr revIDLastSave="0" documentId="13_ncr:1_{CEFDAF32-A7D9-4549-81CA-9C0F9431161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0" i="2" l="1"/>
  <c r="B113" i="2"/>
  <c r="B109" i="2"/>
  <c r="B108" i="2"/>
  <c r="B74" i="2"/>
  <c r="B72" i="2"/>
  <c r="B68" i="2"/>
  <c r="B65" i="2"/>
  <c r="B58" i="2"/>
  <c r="B57" i="2"/>
</calcChain>
</file>

<file path=xl/sharedStrings.xml><?xml version="1.0" encoding="utf-8"?>
<sst xmlns="http://schemas.openxmlformats.org/spreadsheetml/2006/main" count="159" uniqueCount="155">
  <si>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</si>
  <si>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</si>
  <si>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</si>
  <si>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</si>
  <si>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</si>
  <si>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</si>
  <si>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</si>
  <si>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</si>
  <si>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</si>
  <si>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</si>
  <si>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</si>
  <si>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</si>
  <si>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</si>
  <si>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</si>
  <si>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</si>
  <si>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</si>
  <si>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</si>
  <si>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</si>
  <si>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</si>
  <si>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</si>
  <si>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</si>
  <si>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</si>
  <si>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</si>
  <si>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</si>
  <si>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</si>
  <si>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</si>
  <si>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</si>
  <si>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</si>
  <si>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</si>
  <si>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</si>
  <si>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</si>
  <si>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</si>
  <si>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</si>
  <si>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</si>
  <si>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</si>
  <si>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</si>
  <si>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</si>
  <si>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</si>
  <si>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</si>
  <si>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</si>
  <si>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</si>
  <si>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</si>
  <si>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</si>
  <si>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</si>
  <si>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SAP_Client</t>
  </si>
  <si>
    <t>SAP_InputTCode</t>
  </si>
  <si>
    <t>ZFBL1N</t>
  </si>
  <si>
    <t>SAP_CompanyCode</t>
  </si>
  <si>
    <t>SAP_LogonPath</t>
  </si>
  <si>
    <t>SAP_ConnectionName</t>
  </si>
  <si>
    <t>SAP_ProcessName</t>
  </si>
  <si>
    <t>FB60</t>
  </si>
  <si>
    <t>SAP_ProcessingTCode</t>
  </si>
  <si>
    <t>UserIdMappingFilePath</t>
  </si>
  <si>
    <t>C:\Program Files (x86)\SAP\FrontEnd\SAPgui\saplogon.exe</t>
  </si>
  <si>
    <t>Ajanta Sandbox</t>
  </si>
  <si>
    <t>UserIdSheetName</t>
  </si>
  <si>
    <t>InputFileSheetName</t>
  </si>
  <si>
    <t>InputFileName</t>
  </si>
  <si>
    <t>EXPORT.xlsx</t>
  </si>
  <si>
    <t>Sheet1</t>
  </si>
  <si>
    <t>USER id</t>
  </si>
  <si>
    <t>SAP_Credential</t>
  </si>
  <si>
    <t>sap_Credentials</t>
  </si>
  <si>
    <t>SAP_LogonRetryInterval</t>
  </si>
  <si>
    <t>MaxRetryNumber_For_GetVariant</t>
  </si>
  <si>
    <t>RetryInterval_HeadOfficeWindow</t>
  </si>
  <si>
    <t>RetryNumber_HeadOfficeWindow</t>
  </si>
  <si>
    <t>RetryNumber_DataExportPageLoad</t>
  </si>
  <si>
    <t>RetryInterval_DataExportPageLoad</t>
  </si>
  <si>
    <t>RetryNumber_ClickOnSAPTabs</t>
  </si>
  <si>
    <t>TempDownloadExtensions</t>
  </si>
  <si>
    <t>DownloadTimeout</t>
  </si>
  <si>
    <t>DownloadCheckInterval</t>
  </si>
  <si>
    <t>.tmp, .dwn, .crdownload, .part, .crdownload2</t>
  </si>
  <si>
    <t>OutlookPopCheckingDelay</t>
  </si>
  <si>
    <t>RetryNumberEmailAttachmentsExtract</t>
  </si>
  <si>
    <t>RetryIntervalEmailAttachmentsExtract</t>
  </si>
  <si>
    <t>SenderEmailVerify</t>
  </si>
  <si>
    <t>@ajantapharma.com</t>
  </si>
  <si>
    <t>EmailApprovalKeywords</t>
  </si>
  <si>
    <t>approved, approval granted, approval received</t>
  </si>
  <si>
    <t>BusPlaceMappingFilePath</t>
  </si>
  <si>
    <t>BusPlaceSheetName</t>
  </si>
  <si>
    <t>GST &amp; Address List</t>
  </si>
  <si>
    <t>IDPAttachmentsFolderPath</t>
  </si>
  <si>
    <t>ClientAttachmentsFolderPath</t>
  </si>
  <si>
    <t>SendMailTo</t>
  </si>
  <si>
    <t>rpabotacc@ajantapharma.com</t>
  </si>
  <si>
    <t>CCMail_Ids</t>
  </si>
  <si>
    <t>RetryNumberDBConnection</t>
  </si>
  <si>
    <t>RetryIntervalDBConnection</t>
  </si>
  <si>
    <t>HotelBookingConfirmations</t>
  </si>
  <si>
    <t>Booking Confirmed, Confirmed Booking</t>
  </si>
  <si>
    <t>ContractCopyFolderPath</t>
  </si>
  <si>
    <t>CurrencyMapping</t>
  </si>
  <si>
    <t>CurrencyMappingSheetName</t>
  </si>
  <si>
    <t>\\10.100.100.155\FB60-Process\FB60 IDP Attachments</t>
  </si>
  <si>
    <t>\\10.100.100.155\FB60-Process\FB60 Client Attachments</t>
  </si>
  <si>
    <t>\\10.100.100.155\FB60-Process\FB60 Contract Copy Dump Files</t>
  </si>
  <si>
    <t>InputFolderPath</t>
  </si>
  <si>
    <t>OutputFolderPath</t>
  </si>
  <si>
    <t>Attachments</t>
  </si>
  <si>
    <t>AttachmentsFolderName</t>
  </si>
  <si>
    <t>OutputFileName</t>
  </si>
  <si>
    <t>Output_EXPORT.xlsx</t>
  </si>
  <si>
    <t>SAP_LogonRetryNumber</t>
  </si>
  <si>
    <t>ExtractedDataFilePath</t>
  </si>
  <si>
    <t>BusinessException_MailTo</t>
  </si>
  <si>
    <t>BusinessException_CCMail</t>
  </si>
  <si>
    <t>BusinessExceptionFilePath</t>
  </si>
  <si>
    <t>rpabotacc@ajantapharma.com;</t>
  </si>
  <si>
    <t>koteswar.ganta@steponestepahead.com;</t>
  </si>
  <si>
    <t>MailUserAccount</t>
  </si>
  <si>
    <t>http://128.1.12.66/api/document/rpabot-accounts-pms</t>
  </si>
  <si>
    <t>ApiUrl</t>
  </si>
  <si>
    <t>EmailApprovalPromptFilePath</t>
  </si>
  <si>
    <t>VendorMatchPromptFilePath</t>
  </si>
  <si>
    <t>ZFBL1n_Layout</t>
  </si>
  <si>
    <t>FB60_bot</t>
  </si>
  <si>
    <t>FBV3</t>
  </si>
  <si>
    <t>Ajanta SAP System Production</t>
  </si>
  <si>
    <t>SendSAPLoginDelay</t>
  </si>
  <si>
    <t>SendExportFileDelay</t>
  </si>
  <si>
    <t>VendorListFilePath</t>
  </si>
  <si>
    <t>FB60 Process</t>
  </si>
  <si>
    <t>BaseFolderPath</t>
  </si>
  <si>
    <t>FB60 Process Final Report</t>
  </si>
  <si>
    <t>FinalSubjectEmail</t>
  </si>
  <si>
    <t>EmailTimeStampFormat</t>
  </si>
  <si>
    <t>yyyy-MM-dd</t>
  </si>
  <si>
    <t>FinalEmailBody</t>
  </si>
  <si>
    <t>Hello,
This is to inform you all that, the FB60 process is successfully completed. 
Please find the Final Output Report attached.
Regards,
Automation Team</t>
  </si>
  <si>
    <t>deepak.choudhary@ajantapharma.com</t>
  </si>
  <si>
    <t>satyendrakumar.pandey@ajantapharma.com;hrushikesh.sanap@steponestepahead.com;ankur.wani@steponestepahead.com;raj.jadhav@steponestepahead.com;koteswar.ganta@steponestepahead.com</t>
  </si>
  <si>
    <t>SELECT 
    i.vendor_code,
    i.account_id,
    i.vendor_name,
    i.vendor_address,
    i.ajanta_gstin,
    i.ajanta_address,
    i.vendor_gstin,
    i.currency,
    i.mbl_or_house_bill_of_lading,
    i.id AS invoice_id,
    i.token AS invoice_token,
    i.invoice_number,
    i.invoice_date,
    i.net_amount,
    i.tax_amount AS invoice_total_tax,
    i.invoice_amount,
    i.arrival_date,
    i.departure_date,
    i.bank_details,
    i.cgst_amount AS invoice_cgst_amount,
    i.sgst_amount AS invoice_sgst_amount,
    i.igst_amount AS invoice_igst_amount,
    li.item_number,
    li.description AS line_item_description,
    li.hsn_sac AS line_item_hsn,
    li.quantity,
    li.unit_price,
    li.amount AS line_item_amount,
    li.cgst_rate,
    li.cgst_amount AS line_item_cgst_amount,
    li.sgst_rate,
    li.sgst_amount AS line_item_sgst_amount,
    li.igst_rate,
    li.igst_amount AS line_item_igst_amount,
    li.tax_amount AS line_item_total_tax,
    b.bl_number,
    b.vessel_name,
    b.port_of_loading,
    b.port_of_discharge,
    b.shipper,
    c.contract_number,
    c.payment_terms,
    c.exchange_rate,
    c.status AS contract_status
FROM fb60_invoices i
LEFT JOIN fb60_line_items li 
    ON i.id = li.invoice_id
LEFT JOIN fb60_bl b 
    ON i.vendor_code = b.vendor_code 
    AND i.account_id = b.account_id
LEFT JOIN fb60_contracts c 
    ON i.vendor_code = c.vendor_code 
    AND i.account_id = c.account_id
WHERE i.vendor_code = '&lt;DocumentNumber&gt;'</t>
  </si>
  <si>
    <t>IDPDatabaseQuery</t>
  </si>
  <si>
    <t>Dsn=FB60;Uid=fb_60_root;Pwd=Root@123;</t>
  </si>
  <si>
    <t>IDPDatabaseConnString</t>
  </si>
  <si>
    <t>System.Data.Odbc</t>
  </si>
  <si>
    <t>IDPDatabaseProviderName</t>
  </si>
  <si>
    <t>BusinessExceptionSubjectEmail</t>
  </si>
  <si>
    <t>FB60 Process Final Business Exception Report</t>
  </si>
  <si>
    <t>BusinessExceptionEmailBody</t>
  </si>
  <si>
    <t>Hello,
I have attached the FB60 process final Business Exception Report.</t>
  </si>
  <si>
    <t>TempBusinessExceptionSubjectEmail</t>
  </si>
  <si>
    <t>FB60 process Business Exception</t>
  </si>
  <si>
    <t>MailApplicationID</t>
  </si>
  <si>
    <t>c9976e03-066f-4295-b439-55650c934dc9</t>
  </si>
  <si>
    <t>MailTenantID</t>
  </si>
  <si>
    <t>edde9bb0-acf6-4036-874e-3daebca39d2a</t>
  </si>
  <si>
    <t>MailSecretID</t>
  </si>
  <si>
    <t>z6N8Q~cNhUm14wD9nv1BT~D1Ro4ZOGCy~fDEBbYT</t>
  </si>
  <si>
    <t>FinalOutputFormatFilePath</t>
  </si>
  <si>
    <t>C:\Users\STEPUSER4\Documents\UiPath\FB60 Process BOT\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</si>
</sst>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  <xf numFmtId="0" fontId="4" fillId="0" borderId="0" xfId="1"/>
    <xf numFmtId="0" fontId="0" fillId="2" borderId="0" xfId="0" applyFill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\\10.100.100.155\FB60-Process\FB60%20IDP%20Attachments" TargetMode="External"/><Relationship Id="rId7" Type="http://schemas.openxmlformats.org/officeDocument/2006/relationships/hyperlink" Target="http://128.1.12.66/api/document/rpabot-accounts-pms" TargetMode="External"/><Relationship Id="rId2" Type="http://schemas.openxmlformats.org/officeDocument/2006/relationships/hyperlink" Target="file:///\\10.100.100.155\FB60-Process\FB60%20Contract%20Copy%20Dump%20Files" TargetMode="External"/><Relationship Id="rId1" Type="http://schemas.openxmlformats.org/officeDocument/2006/relationships/hyperlink" Target="file:///\\10.100.100.155\FB60-Process\FB60%20Client%20Attachments" TargetMode="External"/><Relationship Id="rId6" Type="http://schemas.openxmlformats.org/officeDocument/2006/relationships/hyperlink" Target="mailto:rpabotacc@ajantapharma.com" TargetMode="External"/><Relationship Id="rId5" Type="http://schemas.openxmlformats.org/officeDocument/2006/relationships/hyperlink" Target="rewritten://24c514fd-038d-49c0-bfce-118d5071c9be/" TargetMode="External"/><Relationship Id="rId4" Type="http://schemas.openxmlformats.org/officeDocument/2006/relationships/hyperlink" Target="rewritten://4201f40d-939c-4b9f-a9c5-6679421292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activeCell="B5" sqref="B5"/>
    </sheetView>
  </sheetViews>
  <sheetFormatPr defaultColWidth="14.42578125" defaultRowHeight="15" customHeight="1"/>
  <cols>
    <col min="1" max="1" width="43.5703125" customWidth="1"/>
    <col min="2" max="2" width="70.710937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125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6"/>
  <sheetViews>
    <sheetView tabSelected="1" topLeftCell="A90" workbookViewId="0">
      <selection activeCell="B3" sqref="B3"/>
    </sheetView>
  </sheetViews>
  <sheetFormatPr defaultColWidth="14.42578125" defaultRowHeight="15" customHeight="1"/>
  <cols>
    <col min="1" max="1" width="41" customWidth="1"/>
    <col min="2" max="2" width="185.140625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126</v>
      </c>
      <c r="B2" t="s">
        <v>154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t="s">
        <v>5</v>
      </c>
      <c r="B3">
        <v>1</v>
      </c>
      <c r="C3" s="3" t="s">
        <v>24</v>
      </c>
    </row>
    <row r="4" spans="1:26" ht="45">
      <c r="A4" t="s">
        <v>32</v>
      </c>
      <c r="B4">
        <v>0</v>
      </c>
      <c r="C4" s="3" t="s">
        <v>40</v>
      </c>
    </row>
    <row r="5" spans="1:26" ht="14.25" customHeight="1"/>
    <row r="6" spans="1:26" ht="14.25" customHeight="1">
      <c r="A6" s="7" t="s">
        <v>6</v>
      </c>
      <c r="B6" t="s">
        <v>7</v>
      </c>
      <c r="C6" t="s">
        <v>8</v>
      </c>
    </row>
    <row r="7" spans="1:26" ht="14.25" customHeight="1"/>
    <row r="8" spans="1:26" ht="14.25" customHeight="1">
      <c r="A8" t="s">
        <v>9</v>
      </c>
      <c r="B8" t="s">
        <v>10</v>
      </c>
      <c r="C8" t="s">
        <v>28</v>
      </c>
    </row>
    <row r="9" spans="1:26" ht="14.25" customHeight="1">
      <c r="A9" t="s">
        <v>11</v>
      </c>
      <c r="B9" t="s">
        <v>12</v>
      </c>
      <c r="C9" t="s">
        <v>13</v>
      </c>
    </row>
    <row r="10" spans="1:26" ht="14.25" customHeight="1">
      <c r="A10" t="s">
        <v>14</v>
      </c>
      <c r="B10" t="s">
        <v>15</v>
      </c>
      <c r="C10" t="s">
        <v>25</v>
      </c>
    </row>
    <row r="11" spans="1:26" ht="14.25" customHeight="1">
      <c r="A11" t="s">
        <v>16</v>
      </c>
      <c r="B11" t="s">
        <v>17</v>
      </c>
      <c r="C11" t="s">
        <v>26</v>
      </c>
    </row>
    <row r="12" spans="1:26" ht="14.25" customHeight="1">
      <c r="A12" t="s">
        <v>18</v>
      </c>
      <c r="B12" t="s">
        <v>19</v>
      </c>
      <c r="C12" t="s">
        <v>27</v>
      </c>
    </row>
    <row r="13" spans="1:26" ht="14.25" customHeight="1">
      <c r="A13" t="s">
        <v>33</v>
      </c>
      <c r="B13" t="s">
        <v>42</v>
      </c>
      <c r="C13" t="s">
        <v>36</v>
      </c>
    </row>
    <row r="14" spans="1:26" ht="14.25" customHeight="1"/>
    <row r="15" spans="1:26" ht="14.25" customHeight="1">
      <c r="A15" t="s">
        <v>34</v>
      </c>
      <c r="B15">
        <v>2</v>
      </c>
      <c r="C15" t="s">
        <v>37</v>
      </c>
    </row>
    <row r="16" spans="1:26" ht="14.25" customHeight="1">
      <c r="A16" t="s">
        <v>35</v>
      </c>
      <c r="B16">
        <v>2</v>
      </c>
      <c r="C16" t="s">
        <v>38</v>
      </c>
    </row>
    <row r="17" spans="1:3" ht="14.25" customHeight="1"/>
    <row r="18" spans="1:3" ht="45">
      <c r="A18" t="s">
        <v>39</v>
      </c>
      <c r="B18" t="b">
        <v>0</v>
      </c>
      <c r="C18" s="3" t="s">
        <v>41</v>
      </c>
    </row>
    <row r="19" spans="1:3" ht="14.25" customHeight="1"/>
    <row r="20" spans="1:3" ht="14.25" customHeight="1">
      <c r="A20" t="s">
        <v>64</v>
      </c>
      <c r="B20">
        <v>30</v>
      </c>
    </row>
    <row r="21" spans="1:3" ht="14.25" customHeight="1">
      <c r="A21" t="s">
        <v>106</v>
      </c>
      <c r="B21">
        <v>5</v>
      </c>
    </row>
    <row r="22" spans="1:3" ht="14.25" customHeight="1">
      <c r="A22" t="s">
        <v>65</v>
      </c>
      <c r="B22">
        <v>3</v>
      </c>
    </row>
    <row r="23" spans="1:3" ht="14.25" customHeight="1"/>
    <row r="24" spans="1:3" ht="14.25" customHeight="1">
      <c r="A24" t="s">
        <v>67</v>
      </c>
      <c r="B24">
        <v>6</v>
      </c>
    </row>
    <row r="25" spans="1:3" ht="14.25" customHeight="1">
      <c r="A25" t="s">
        <v>66</v>
      </c>
      <c r="B25">
        <v>10</v>
      </c>
    </row>
    <row r="26" spans="1:3" ht="14.25" customHeight="1"/>
    <row r="27" spans="1:3" ht="14.25" customHeight="1">
      <c r="A27" t="s">
        <v>68</v>
      </c>
      <c r="B27">
        <v>8</v>
      </c>
    </row>
    <row r="28" spans="1:3" ht="14.25" customHeight="1">
      <c r="A28" t="s">
        <v>69</v>
      </c>
      <c r="B28">
        <v>1</v>
      </c>
    </row>
    <row r="29" spans="1:3" ht="14.25" customHeight="1"/>
    <row r="30" spans="1:3" ht="14.25" customHeight="1">
      <c r="A30" t="s">
        <v>70</v>
      </c>
      <c r="B30">
        <v>5</v>
      </c>
    </row>
    <row r="31" spans="1:3" ht="14.25" customHeight="1"/>
    <row r="32" spans="1:3" ht="14.25" customHeight="1">
      <c r="A32" t="s">
        <v>71</v>
      </c>
      <c r="B32" t="s">
        <v>74</v>
      </c>
    </row>
    <row r="33" spans="1:2" ht="14.25" customHeight="1">
      <c r="A33" t="s">
        <v>72</v>
      </c>
      <c r="B33">
        <v>60</v>
      </c>
    </row>
    <row r="34" spans="1:2" ht="14.25" customHeight="1">
      <c r="A34" t="s">
        <v>73</v>
      </c>
      <c r="B34">
        <v>2</v>
      </c>
    </row>
    <row r="35" spans="1:2" ht="14.25" customHeight="1"/>
    <row r="36" spans="1:2" ht="14.25" customHeight="1">
      <c r="A36" t="s">
        <v>75</v>
      </c>
      <c r="B36">
        <v>5</v>
      </c>
    </row>
    <row r="37" spans="1:2" ht="14.25" customHeight="1"/>
    <row r="38" spans="1:2" ht="14.25" customHeight="1">
      <c r="A38" t="s">
        <v>76</v>
      </c>
      <c r="B38">
        <v>5</v>
      </c>
    </row>
    <row r="39" spans="1:2" ht="14.25" customHeight="1">
      <c r="A39" t="s">
        <v>77</v>
      </c>
      <c r="B39">
        <v>5</v>
      </c>
    </row>
    <row r="40" spans="1:2" ht="14.25" customHeight="1"/>
    <row r="41" spans="1:2" ht="14.25" customHeight="1">
      <c r="A41" t="s">
        <v>90</v>
      </c>
      <c r="B41">
        <v>5</v>
      </c>
    </row>
    <row r="42" spans="1:2" ht="14.25" customHeight="1">
      <c r="A42" t="s">
        <v>91</v>
      </c>
      <c r="B42">
        <v>10</v>
      </c>
    </row>
    <row r="43" spans="1:2" ht="14.25" customHeight="1"/>
    <row r="44" spans="1:2" ht="14.25" customHeight="1">
      <c r="A44" t="s">
        <v>44</v>
      </c>
      <c r="B44" s="5">
        <v>500</v>
      </c>
    </row>
    <row r="45" spans="1:2" ht="14.25" customHeight="1">
      <c r="A45" t="s">
        <v>63</v>
      </c>
      <c r="B45" t="s">
        <v>62</v>
      </c>
    </row>
    <row r="46" spans="1:2" ht="14.25" customHeight="1">
      <c r="A46" t="s">
        <v>45</v>
      </c>
      <c r="B46" t="s">
        <v>46</v>
      </c>
    </row>
    <row r="47" spans="1:2" ht="14.25" customHeight="1">
      <c r="A47" t="s">
        <v>52</v>
      </c>
      <c r="B47" t="s">
        <v>120</v>
      </c>
    </row>
    <row r="48" spans="1:2" ht="14.25" customHeight="1">
      <c r="A48" t="s">
        <v>47</v>
      </c>
      <c r="B48" s="5">
        <v>1000</v>
      </c>
    </row>
    <row r="49" spans="1:3" ht="14.25" customHeight="1">
      <c r="A49" t="s">
        <v>50</v>
      </c>
      <c r="B49" t="s">
        <v>51</v>
      </c>
    </row>
    <row r="50" spans="1:3" ht="14.25" customHeight="1">
      <c r="A50" s="7" t="s">
        <v>48</v>
      </c>
      <c r="B50" t="s">
        <v>54</v>
      </c>
    </row>
    <row r="51" spans="1:3" ht="14.25" customHeight="1">
      <c r="A51" s="7" t="s">
        <v>49</v>
      </c>
      <c r="B51" t="s">
        <v>121</v>
      </c>
      <c r="C51" t="s">
        <v>55</v>
      </c>
    </row>
    <row r="52" spans="1:3" ht="14.25" customHeight="1"/>
    <row r="53" spans="1:3" ht="14.25" customHeight="1">
      <c r="A53" t="s">
        <v>122</v>
      </c>
      <c r="B53">
        <v>3</v>
      </c>
    </row>
    <row r="54" spans="1:3" ht="14.25" customHeight="1"/>
    <row r="55" spans="1:3" ht="14.25" customHeight="1">
      <c r="A55" t="s">
        <v>123</v>
      </c>
      <c r="B55">
        <v>5</v>
      </c>
    </row>
    <row r="56" spans="1:3" ht="14.25" customHeight="1"/>
    <row r="57" spans="1:3" ht="14.25" customHeight="1">
      <c r="A57" s="7" t="s">
        <v>100</v>
      </c>
      <c r="B57" s="2" t="str">
        <f>B2&amp;"Data\Input"</f>
        <v>C:\Users\STEPUSER4\Documents\UiPath\FB60 Process BOT\Data\Input</v>
      </c>
    </row>
    <row r="58" spans="1:3" ht="14.25" customHeight="1">
      <c r="A58" s="7" t="s">
        <v>101</v>
      </c>
      <c r="B58" s="2" t="str">
        <f>B2&amp;"Data\Output"</f>
        <v>C:\Users\STEPUSER4\Documents\UiPath\FB60 Process BOT\Data\Output</v>
      </c>
    </row>
    <row r="59" spans="1:3" ht="14.25" customHeight="1">
      <c r="A59" s="2" t="s">
        <v>103</v>
      </c>
      <c r="B59" s="2" t="s">
        <v>102</v>
      </c>
    </row>
    <row r="60" spans="1:3" ht="14.25" customHeight="1">
      <c r="A60" s="2" t="s">
        <v>104</v>
      </c>
      <c r="B60" s="2" t="s">
        <v>105</v>
      </c>
    </row>
    <row r="61" spans="1:3" ht="14.25" customHeight="1"/>
    <row r="62" spans="1:3" ht="14.25" customHeight="1">
      <c r="A62" t="s">
        <v>58</v>
      </c>
      <c r="B62" t="s">
        <v>59</v>
      </c>
    </row>
    <row r="63" spans="1:3" ht="14.25" customHeight="1">
      <c r="A63" t="s">
        <v>57</v>
      </c>
      <c r="B63" t="s">
        <v>60</v>
      </c>
    </row>
    <row r="64" spans="1:3" ht="14.25" customHeight="1"/>
    <row r="65" spans="1:2" ht="14.25" customHeight="1">
      <c r="A65" s="7" t="s">
        <v>53</v>
      </c>
      <c r="B65" t="str">
        <f>B2&amp;"Data\Input\Mapping Files\USER_ID.xlsx"</f>
        <v>C:\Users\STEPUSER4\Documents\UiPath\FB60 Process BOT\Data\Input\Mapping Files\USER_ID.xlsx</v>
      </c>
    </row>
    <row r="66" spans="1:2" ht="14.25" customHeight="1">
      <c r="A66" t="s">
        <v>56</v>
      </c>
      <c r="B66" t="s">
        <v>61</v>
      </c>
    </row>
    <row r="67" spans="1:2" ht="14.25" customHeight="1"/>
    <row r="68" spans="1:2" ht="14.25" customHeight="1">
      <c r="A68" s="7" t="s">
        <v>82</v>
      </c>
      <c r="B68" t="str">
        <f>B2&amp;"Data\Input\Mapping Files\Business Place Code Mapping List.xlsx"</f>
        <v>C:\Users\STEPUSER4\Documents\UiPath\FB60 Process BOT\Data\Input\Mapping Files\Business Place Code Mapping List.xlsx</v>
      </c>
    </row>
    <row r="69" spans="1:2" ht="14.25" customHeight="1">
      <c r="A69" t="s">
        <v>83</v>
      </c>
      <c r="B69" t="s">
        <v>84</v>
      </c>
    </row>
    <row r="70" spans="1:2" ht="14.25" customHeight="1">
      <c r="A70" t="s">
        <v>96</v>
      </c>
      <c r="B70" t="s">
        <v>95</v>
      </c>
    </row>
    <row r="71" spans="1:2" ht="14.25" customHeight="1"/>
    <row r="72" spans="1:2" ht="14.25" customHeight="1">
      <c r="A72" s="7" t="s">
        <v>107</v>
      </c>
      <c r="B72" t="str">
        <f>B2&amp;"Data\Temp\Extraction.xlsx"</f>
        <v>C:\Users\STEPUSER4\Documents\UiPath\FB60 Process BOT\Data\Temp\Extraction.xlsx</v>
      </c>
    </row>
    <row r="73" spans="1:2" ht="14.25" customHeight="1"/>
    <row r="74" spans="1:2" ht="14.25" customHeight="1">
      <c r="A74" s="7" t="s">
        <v>110</v>
      </c>
      <c r="B74" t="str">
        <f>B2&amp;"Data\Temp\BusinessExceptionReport.xlsx"</f>
        <v>C:\Users\STEPUSER4\Documents\UiPath\FB60 Process BOT\Data\Temp\BusinessExceptionReport.xlsx</v>
      </c>
    </row>
    <row r="75" spans="1:2" ht="14.25" customHeight="1"/>
    <row r="76" spans="1:2" ht="14.25" customHeight="1">
      <c r="A76" s="7" t="s">
        <v>85</v>
      </c>
      <c r="B76" s="6" t="s">
        <v>97</v>
      </c>
    </row>
    <row r="77" spans="1:2" ht="14.25" customHeight="1">
      <c r="A77" s="7" t="s">
        <v>86</v>
      </c>
      <c r="B77" s="6" t="s">
        <v>98</v>
      </c>
    </row>
    <row r="78" spans="1:2" ht="14.25" customHeight="1">
      <c r="A78" s="7" t="s">
        <v>94</v>
      </c>
      <c r="B78" s="6" t="s">
        <v>99</v>
      </c>
    </row>
    <row r="79" spans="1:2" ht="14.25" customHeight="1"/>
    <row r="80" spans="1:2" ht="14.25" customHeight="1">
      <c r="A80" t="s">
        <v>78</v>
      </c>
      <c r="B80" t="s">
        <v>79</v>
      </c>
    </row>
    <row r="81" spans="1:2" ht="14.25" customHeight="1"/>
    <row r="82" spans="1:2" ht="14.25" customHeight="1">
      <c r="A82" t="s">
        <v>80</v>
      </c>
      <c r="B82" t="s">
        <v>81</v>
      </c>
    </row>
    <row r="83" spans="1:2" ht="14.25" customHeight="1"/>
    <row r="84" spans="1:2" ht="14.25" customHeight="1"/>
    <row r="85" spans="1:2" ht="14.25" customHeight="1">
      <c r="A85" t="s">
        <v>92</v>
      </c>
      <c r="B85" t="s">
        <v>93</v>
      </c>
    </row>
    <row r="86" spans="1:2" ht="14.25" customHeight="1"/>
    <row r="87" spans="1:2" ht="14.25" customHeight="1">
      <c r="A87" t="s">
        <v>128</v>
      </c>
      <c r="B87" t="s">
        <v>127</v>
      </c>
    </row>
    <row r="88" spans="1:2" ht="14.25" customHeight="1">
      <c r="A88" t="s">
        <v>129</v>
      </c>
      <c r="B88" t="s">
        <v>130</v>
      </c>
    </row>
    <row r="89" spans="1:2" ht="14.25" customHeight="1">
      <c r="A89" t="s">
        <v>131</v>
      </c>
      <c r="B89" s="3" t="s">
        <v>132</v>
      </c>
    </row>
    <row r="90" spans="1:2" ht="14.25" customHeight="1">
      <c r="A90" t="s">
        <v>87</v>
      </c>
      <c r="B90" t="s">
        <v>133</v>
      </c>
    </row>
    <row r="91" spans="1:2" ht="14.25" customHeight="1">
      <c r="A91" t="s">
        <v>89</v>
      </c>
      <c r="B91" t="s">
        <v>134</v>
      </c>
    </row>
    <row r="92" spans="1:2" ht="14.25" customHeight="1"/>
    <row r="93" spans="1:2" ht="14.25" customHeight="1">
      <c r="A93" t="s">
        <v>147</v>
      </c>
      <c r="B93" t="s">
        <v>148</v>
      </c>
    </row>
    <row r="94" spans="1:2" ht="14.25" customHeight="1">
      <c r="A94" t="s">
        <v>149</v>
      </c>
      <c r="B94" t="s">
        <v>150</v>
      </c>
    </row>
    <row r="95" spans="1:2" ht="14.25" customHeight="1">
      <c r="A95" t="s">
        <v>151</v>
      </c>
      <c r="B95" t="s">
        <v>152</v>
      </c>
    </row>
    <row r="96" spans="1:2" ht="14.25" customHeight="1"/>
    <row r="97" spans="1:2" ht="14.25" customHeight="1">
      <c r="A97" t="s">
        <v>108</v>
      </c>
      <c r="B97" t="s">
        <v>111</v>
      </c>
    </row>
    <row r="98" spans="1:2" ht="14.25" customHeight="1">
      <c r="A98" t="s">
        <v>109</v>
      </c>
      <c r="B98" t="s">
        <v>112</v>
      </c>
    </row>
    <row r="99" spans="1:2" ht="14.25" customHeight="1">
      <c r="A99" t="s">
        <v>141</v>
      </c>
      <c r="B99" t="s">
        <v>142</v>
      </c>
    </row>
    <row r="100" spans="1:2" ht="14.25" customHeight="1">
      <c r="A100" t="s">
        <v>143</v>
      </c>
      <c r="B100" s="3" t="s">
        <v>144</v>
      </c>
    </row>
    <row r="101" spans="1:2" ht="14.25" customHeight="1"/>
    <row r="102" spans="1:2" ht="14.25" customHeight="1">
      <c r="A102" t="s">
        <v>145</v>
      </c>
      <c r="B102" t="s">
        <v>146</v>
      </c>
    </row>
    <row r="103" spans="1:2" ht="14.25" customHeight="1"/>
    <row r="104" spans="1:2" ht="14.25" customHeight="1">
      <c r="A104" t="s">
        <v>113</v>
      </c>
      <c r="B104" t="s">
        <v>88</v>
      </c>
    </row>
    <row r="105" spans="1:2" ht="14.25" customHeight="1"/>
    <row r="106" spans="1:2" ht="14.25" customHeight="1">
      <c r="A106" t="s">
        <v>115</v>
      </c>
      <c r="B106" t="s">
        <v>114</v>
      </c>
    </row>
    <row r="107" spans="1:2" ht="14.25" customHeight="1"/>
    <row r="108" spans="1:2" ht="14.25" customHeight="1">
      <c r="A108" s="7" t="s">
        <v>116</v>
      </c>
      <c r="B108" t="str">
        <f>B2&amp;"Data\Temp\EmailApprovalPrompt.txt"</f>
        <v>C:\Users\STEPUSER4\Documents\UiPath\FB60 Process BOT\Data\Temp\EmailApprovalPrompt.txt</v>
      </c>
    </row>
    <row r="109" spans="1:2" ht="14.25" customHeight="1">
      <c r="A109" s="7" t="s">
        <v>117</v>
      </c>
      <c r="B109" t="str">
        <f>B2&amp;"Data\Temp\Vendor_Name_Address_Matching_Prompt.txt"</f>
        <v>C:\Users\STEPUSER4\Documents\UiPath\FB60 Process BOT\Data\Temp\Vendor_Name_Address_Matching_Prompt.txt</v>
      </c>
    </row>
    <row r="110" spans="1:2" ht="14.25" customHeight="1"/>
    <row r="111" spans="1:2" ht="14.25" customHeight="1">
      <c r="A111" t="s">
        <v>118</v>
      </c>
      <c r="B111" t="s">
        <v>119</v>
      </c>
    </row>
    <row r="112" spans="1:2" ht="14.25" customHeight="1"/>
    <row r="113" spans="1:2" ht="14.25" customHeight="1">
      <c r="A113" s="7" t="s">
        <v>124</v>
      </c>
      <c r="B113" t="str">
        <f>B2&amp;"Data\Temp\FB60_VendorMaster_List.xlsx"</f>
        <v>C:\Users\STEPUSER4\Documents\UiPath\FB60 Process BOT\Data\Temp\FB60_VendorMaster_List.xlsx</v>
      </c>
    </row>
    <row r="114" spans="1:2" ht="14.25" customHeight="1"/>
    <row r="115" spans="1:2" ht="14.25" customHeight="1"/>
    <row r="116" spans="1:2" ht="31.5" customHeight="1">
      <c r="A116" t="s">
        <v>136</v>
      </c>
      <c r="B116" s="3" t="s">
        <v>135</v>
      </c>
    </row>
    <row r="117" spans="1:2" ht="14.25" customHeight="1">
      <c r="A117" t="s">
        <v>138</v>
      </c>
      <c r="B117" t="s">
        <v>137</v>
      </c>
    </row>
    <row r="118" spans="1:2" ht="14.25" customHeight="1">
      <c r="A118" t="s">
        <v>140</v>
      </c>
      <c r="B118" t="s">
        <v>139</v>
      </c>
    </row>
    <row r="119" spans="1:2" ht="14.25" customHeight="1"/>
    <row r="120" spans="1:2" ht="14.25" customHeight="1">
      <c r="A120" s="8" t="s">
        <v>153</v>
      </c>
      <c r="B120" s="2" t="str">
        <f>B2&amp;"Data\Temp\FinalOutputFileFormat.xlsx"</f>
        <v>C:\Users\STEPUSER4\Documents\UiPath\FB60 Process BOT\Data\Temp\FinalOutputFileFormat.xlsx</v>
      </c>
    </row>
    <row r="121" spans="1:2" ht="14.25" customHeight="1"/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</sheetData>
  <phoneticPr fontId="2"/>
  <hyperlinks>
    <hyperlink ref="B77" r:id="rId1" xr:uid="{D843729B-3B04-4FCF-87F8-4297410E74DE}"/>
    <hyperlink ref="B78" r:id="rId2" xr:uid="{F59FAFA1-5B46-4F8E-BC94-BC7C9D85323F}"/>
    <hyperlink ref="B76" r:id="rId3" xr:uid="{FC4C71BC-BFC6-4D2D-9ADF-00D603B28BAF}"/>
    <hyperlink ref="B98" r:id="rId4" xr:uid="{7A97D48A-6619-421C-86DE-556CCB8E558D}"/>
    <hyperlink ref="B97" r:id="rId5" xr:uid="{971F8D93-7CC6-4A29-A9B7-99E144927434}"/>
    <hyperlink ref="B104" r:id="rId6" xr:uid="{631ED79D-99DB-4810-ABF3-57895ECC4F54}"/>
    <hyperlink ref="B106" r:id="rId7" xr:uid="{1BBE1A35-C29B-43E3-8808-3D1D902BDC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4" sqref="A3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 USER 4 SQL</cp:lastModifiedBy>
  <dcterms:modified xsi:type="dcterms:W3CDTF">2026-10-17T11:01:13Z</dcterms:modified>
</cp:coreProperties>
</file>